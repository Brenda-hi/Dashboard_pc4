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Constantes" sheetId="3" state="visible" r:id="rId5"/>
    <sheet name="Calculos" sheetId="4" state="visible" r:id="rId6"/>
    <sheet name="Carta X-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<sst xmlns="http://schemas.openxmlformats.org/spreadsheetml/2006/main" count="59" uniqueCount="58">
  <si>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PC4 · Plantilla de Carta de Control X̄-R</t>
  </si>
  <si>
    <t xml:space="preserve">Control Estadístico de Procesos — Hidalgo del Rio, Brenda</t>
  </si>
  <si>
    <t xml:space="preserve">1. Datos</t>
  </si>
  <si>
    <t xml:space="preserve">Ve a la hoja 'Datos'. Ingresa el tamaño de subgrupo (n) y el número de subgrupos (k) en las celdas amarillas. Luego llena la tabla con tus mediciones: una fila por subgrupo, una columna por observación dentro del subgrupo.</t>
  </si>
  <si>
    <t xml:space="preserve">2. Cálculos</t>
  </si>
  <si>
    <t xml:space="preserve">La hoja 'Cálculos' obtiene automáticamente la media y el rango de cada subgrupo, la media general (X̿), el rango promedio (R̄) y los límites de control (LSC/LIC) para ambas cartas, usando las constantes A2, D3 y D4 según tu n.</t>
  </si>
  <si>
    <t xml:space="preserve">3. Constantes</t>
  </si>
  <si>
    <t xml:space="preserve">La hoja 'Constantes' contiene la tabla estándar de factores A2, D3 y D4 para n = 2 a 10 (Montgomery, Introduction to Statistical Quality Control). No la modifiques salvo que tu docente indique otra fuente.</t>
  </si>
  <si>
    <t xml:space="preserve">4. Carta X-R</t>
  </si>
  <si>
    <t xml:space="preserve">La hoja 'Carta X-R' grafica automáticamente ambas cartas (medias y rangos) con sus líneas central y de control, a partir de los resultados de 'Cálculos'.</t>
  </si>
  <si>
    <t xml:space="preserve">Notas</t>
  </si>
  <si>
    <t xml:space="preserve">• Los valores en AZUL son de entrada (edítalos). Los valores en NEGRO son fórmulas (no los edites directamente).
• Si tu n es mayor a 10, esta plantilla de X̄-R ya no aplica: corresponde usar una carta X̄-S (ver sección 02 del informe, tabla de referencia).
• Las filas de subgrupo no utilizadas pueden dejarse en blanco; las fórmulas las ignoran automáticamente.</t>
  </si>
  <si>
    <t xml:space="preserve">Tabla de datos - subgrupos</t>
  </si>
  <si>
    <t xml:space="preserve">Tamano de subgrupo (n):</t>
  </si>
  <si>
    <t xml:space="preserve">Numero de subgrupos (k):</t>
  </si>
  <si>
    <t xml:space="preserve">Nota: deja en blanco las columnas Xn que superen tu n, y las filas de subgrupo que superen tu k.</t>
  </si>
  <si>
    <t xml:space="preserve">Datos de ejemplo (guia oficial PC4, seccion 2) - reemplaza por los datos de tu propio problema.</t>
  </si>
  <si>
    <t xml:space="preserve">Subgrupo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</si>
  <si>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</si>
  <si>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</si>
  <si>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</si>
  <si>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</si>
  <si>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</si>
  <si>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</si>
  <si>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</si>
  <si>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</si>
  <si>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</si>
  <si>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</si>
  <si>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Constantes para carta X-bar - R</t>
  </si>
  <si>
    <t xml:space="preserve">Fuente: Montgomery, Introduction to Statistical Quality Control</t>
  </si>
  <si>
    <t xml:space="preserve">n</t>
  </si>
  <si>
    <t xml:space="preserve">A2</t>
  </si>
  <si>
    <t xml:space="preserve">D3</t>
  </si>
  <si>
    <t xml:space="preserve">D4</t>
  </si>
  <si>
    <t xml:space="preserve">Calculos - Carta X-bar - R</t>
  </si>
  <si>
    <t xml:space="preserve">Media (X̄i)</t>
  </si>
  <si>
    <t xml:space="preserve">Rango (Ri)</t>
  </si>
  <si>
    <t xml:space="preserve">LC X̄</t>
  </si>
  <si>
    <t xml:space="preserve">LSC X̄</t>
  </si>
  <si>
    <t xml:space="preserve">LIC X̄</t>
  </si>
  <si>
    <t xml:space="preserve">LC R</t>
  </si>
  <si>
    <t xml:space="preserve">LSC R</t>
  </si>
  <si>
    <t xml:space="preserve">LIC R</t>
  </si>
  <si>
    <t xml:space="preserve">Estado</t>
  </si>
  <si>
    <t xml:space="preserve">Resultados generales</t>
  </si>
  <si>
    <t xml:space="preserve">Tamano de subgrupo (n)</t>
  </si>
  <si>
    <t xml:space="preserve">Numero de subgrupos (k)</t>
  </si>
  <si>
    <t xml:space="preserve">Constante A2</t>
  </si>
  <si>
    <t xml:space="preserve">Constante D3</t>
  </si>
  <si>
    <t xml:space="preserve">Constante D4</t>
  </si>
  <si>
    <t xml:space="preserve">Media general (X̿̄)</t>
  </si>
  <si>
    <t xml:space="preserve">Rango promedio (R̄)</t>
  </si>
  <si>
    <t xml:space="preserve">LSC X̄ = X̿̄ + A2·R̄</t>
  </si>
  <si>
    <t xml:space="preserve">LIC X̄ = X̿̄ - A2·R̄</t>
  </si>
  <si>
    <t xml:space="preserve">LSC R = D4·R̄</t>
  </si>
  <si>
    <t xml:space="preserve">LIC R = D3·R̄</t>
  </si>
  <si>
    <t xml:space="preserve">Carta de control X-bar - R</t>
  </si>
  <si>
    <t xml:space="preserve">Generada automaticamente a partir de la hoja Calculos. Actualiza tus datos en 'Datos' y el grafico se redibuja solo.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</si>
</sst>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"/>
    <numFmt numFmtId="167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A3690"/>
      <name val="Calibri"/>
      <family val="0"/>
      <charset val="1"/>
    </font>
    <font>
      <i val="true"/>
      <sz val="10"/>
      <color rgb="FF675E7D"/>
      <name val="Calibri"/>
      <family val="0"/>
      <charset val="1"/>
    </font>
    <font>
      <b val="true"/>
      <sz val="12"/>
      <color rgb="FF5A3690"/>
      <name val="Calibri"/>
      <family val="0"/>
      <charset val="1"/>
    </font>
    <font>
      <sz val="10"/>
      <color rgb="FF2A2140"/>
      <name val="Calibri"/>
      <family val="0"/>
      <charset val="1"/>
    </font>
    <font>
      <b val="true"/>
      <sz val="10"/>
      <color rgb="FF2A214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675E7D"/>
      <name val="Calibri"/>
      <family val="0"/>
      <charset val="1"/>
    </font>
    <font>
      <i val="true"/>
      <sz val="9"/>
      <color rgb="FFC4433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9"/>
      <color rgb="FF9089A3"/>
      <name val="Calibri"/>
      <family val="0"/>
      <charset val="1"/>
    </font>
    <font>
      <b val="true"/>
      <sz val="11"/>
      <color rgb="FF5A369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7C4DBD"/>
        <bgColor rgb="FF675E7D"/>
      </patternFill>
    </fill>
    <fill>
      <patternFill patternType="solid">
        <fgColor rgb="FFF0E6FB"/>
        <bgColor rgb="FFFBEA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CEF"/>
      </left>
      <right style="thin">
        <color rgb="FFD8CCEF"/>
      </right>
      <top style="thin">
        <color rgb="FFD8CCEF"/>
      </top>
      <bottom style="thin">
        <color rgb="FFD8CC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0"/>
        <b val="1"/>
        <color rgb="FFC4433C"/>
        <sz val="10"/>
      </font>
      <fill>
        <patternFill>
          <bgColor rgb="FFFBEA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4433C"/>
      <rgbColor rgb="FFFFFDE7"/>
      <rgbColor rgb="FFF0E6FB"/>
      <rgbColor rgb="FF660066"/>
      <rgbColor rgb="FFFF8080"/>
      <rgbColor rgb="FF0066CC"/>
      <rgbColor rgb="FFD8CC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A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75E7D"/>
      <rgbColor rgb="FF9089A3"/>
      <rgbColor rgb="FF003366"/>
      <rgbColor rgb="FF339966"/>
      <rgbColor rgb="FF003300"/>
      <rgbColor rgb="FF333300"/>
      <rgbColor rgb="FF993300"/>
      <rgbColor rgb="FF7C4DBD"/>
      <rgbColor rgb="FF5A3690"/>
      <rgbColor rgb="FF2A21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Carta X̄ (medias de subgrupo)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Calculos!B3</c:f>
              <c:strCache>
                <c:ptCount val="1"/>
                <c:pt idx="0">
                  <c:v>Media (X̄i)</c:v>
                </c:pt>
              </c:strCache>
            </c:strRef>
          </c:tx>
          <c:spPr>
            <a:solidFill>
              <a:srgbClr val="5a3690"/>
            </a:solidFill>
            <a:ln w="21960">
              <a:solidFill>
                <a:srgbClr val="5a3690"/>
              </a:solidFill>
              <a:round/>
            </a:ln>
          </c:spPr>
          <c:marker>
            <c:symbol val="circle"/>
            <c:size val="5"/>
            <c:spPr>
              <a:solidFill>
                <a:srgbClr val="5a369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Calculos!$B$4:$B$28</c:f>
              <c:numCache>
                <c:formatCode>0.000</c:formatCode>
                <c:ptCount val="25"/>
                <c:pt idx="0">
                  <c:v>54.86</c:v>
                </c:pt>
                <c:pt idx="1">
                  <c:v>55.06</c:v>
                </c:pt>
                <c:pt idx="2">
                  <c:v>55.24</c:v>
                </c:pt>
                <c:pt idx="3">
                  <c:v>55.48</c:v>
                </c:pt>
                <c:pt idx="4">
                  <c:v>55.72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Calculos!D3</c:f>
              <c:strCache>
                <c:ptCount val="1"/>
                <c:pt idx="0">
                  <c:v>LC X̄</c:v>
                </c:pt>
              </c:strCache>
            </c:strRef>
          </c:tx>
          <c:spPr>
            <a:solidFill>
              <a:srgbClr val="7c4dbd"/>
            </a:solidFill>
            <a:ln w="11880">
              <a:solidFill>
                <a:srgbClr val="7c4dbd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Calculos!$D$4:$D$28</c:f>
              <c:numCache>
                <c:formatCode>0.000</c:formatCode>
                <c:ptCount val="25"/>
                <c:pt idx="0">
                  <c:v>55.272</c:v>
                </c:pt>
                <c:pt idx="1">
                  <c:v>55.272</c:v>
                </c:pt>
                <c:pt idx="2">
                  <c:v>55.272</c:v>
                </c:pt>
                <c:pt idx="3">
                  <c:v>55.272</c:v>
                </c:pt>
                <c:pt idx="4">
                  <c:v>55.272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Calculos!E3</c:f>
              <c:strCache>
                <c:ptCount val="1"/>
                <c:pt idx="0">
                  <c:v>LSC X̄</c:v>
                </c:pt>
              </c:strCache>
            </c:strRef>
          </c:tx>
          <c:spPr>
            <a:solidFill>
              <a:srgbClr val="c4433c"/>
            </a:solidFill>
            <a:ln w="11880">
              <a:solidFill>
                <a:srgbClr val="c4433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Calculos!$E$4:$E$28</c:f>
              <c:numCache>
                <c:formatCode>0.000</c:formatCode>
                <c:ptCount val="25"/>
                <c:pt idx="0">
                  <c:v>55.42202</c:v>
                </c:pt>
                <c:pt idx="1">
                  <c:v>55.42202</c:v>
                </c:pt>
                <c:pt idx="2">
                  <c:v>55.42202</c:v>
                </c:pt>
                <c:pt idx="3">
                  <c:v>55.42202</c:v>
                </c:pt>
                <c:pt idx="4">
                  <c:v>55.42202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Calculos!F3</c:f>
              <c:strCache>
                <c:ptCount val="1"/>
                <c:pt idx="0">
                  <c:v>LIC X̄</c:v>
                </c:pt>
              </c:strCache>
            </c:strRef>
          </c:tx>
          <c:spPr>
            <a:solidFill>
              <a:srgbClr val="c4433c"/>
            </a:solidFill>
            <a:ln w="11880">
              <a:solidFill>
                <a:srgbClr val="c4433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Calculos!$F$4:$F$28</c:f>
              <c:numCache>
                <c:formatCode>0.000</c:formatCode>
                <c:ptCount val="25"/>
                <c:pt idx="0">
                  <c:v>55.12198</c:v>
                </c:pt>
                <c:pt idx="1">
                  <c:v>55.12198</c:v>
                </c:pt>
                <c:pt idx="2">
                  <c:v>55.12198</c:v>
                </c:pt>
                <c:pt idx="3">
                  <c:v>55.12198</c:v>
                </c:pt>
                <c:pt idx="4">
                  <c:v>55.12198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797627"/>
        <c:axId val="58667391"/>
      </c:lineChart>
      <c:catAx>
        <c:axId val="697976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67391"/>
        <c:crosses val="autoZero"/>
        <c:auto val="1"/>
        <c:lblAlgn val="ctr"/>
        <c:lblOffset val="100"/>
        <c:noMultiLvlLbl val="0"/>
      </c:catAx>
      <c:valAx>
        <c:axId val="58667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Media del subgrupo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976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Carta R (rangos de subgrupo)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Calculos!C3</c:f>
              <c:strCache>
                <c:ptCount val="1"/>
                <c:pt idx="0">
                  <c:v>Rango (Ri)</c:v>
                </c:pt>
              </c:strCache>
            </c:strRef>
          </c:tx>
          <c:spPr>
            <a:solidFill>
              <a:srgbClr val="5a3690"/>
            </a:solidFill>
            <a:ln w="21960">
              <a:solidFill>
                <a:srgbClr val="5a3690"/>
              </a:solidFill>
              <a:round/>
            </a:ln>
          </c:spPr>
          <c:marker>
            <c:symbol val="circle"/>
            <c:size val="5"/>
            <c:spPr>
              <a:solidFill>
                <a:srgbClr val="5a369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Calculos!$C$4:$C$28</c:f>
              <c:numCache>
                <c:formatCode>0.000</c:formatCode>
                <c:ptCount val="25"/>
                <c:pt idx="0">
                  <c:v>0.299999999999997</c:v>
                </c:pt>
                <c:pt idx="1">
                  <c:v>0.300000000000004</c:v>
                </c:pt>
                <c:pt idx="2">
                  <c:v>0.299999999999997</c:v>
                </c:pt>
                <c:pt idx="3">
                  <c:v>0.200000000000003</c:v>
                </c:pt>
                <c:pt idx="4">
                  <c:v>0.199999999999996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Calculos!G3</c:f>
              <c:strCache>
                <c:ptCount val="1"/>
                <c:pt idx="0">
                  <c:v>LC R</c:v>
                </c:pt>
              </c:strCache>
            </c:strRef>
          </c:tx>
          <c:spPr>
            <a:solidFill>
              <a:srgbClr val="7c4dbd"/>
            </a:solidFill>
            <a:ln w="11880">
              <a:solidFill>
                <a:srgbClr val="7c4dbd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Calculos!$G$4:$G$28</c:f>
              <c:numCache>
                <c:formatCode>0.000</c:formatCode>
                <c:ptCount val="25"/>
                <c:pt idx="0">
                  <c:v>0.259999999999999</c:v>
                </c:pt>
                <c:pt idx="1">
                  <c:v>0.259999999999999</c:v>
                </c:pt>
                <c:pt idx="2">
                  <c:v>0.259999999999999</c:v>
                </c:pt>
                <c:pt idx="3">
                  <c:v>0.259999999999999</c:v>
                </c:pt>
                <c:pt idx="4">
                  <c:v>0.259999999999999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Calculos!H3</c:f>
              <c:strCache>
                <c:ptCount val="1"/>
                <c:pt idx="0">
                  <c:v>LSC R</c:v>
                </c:pt>
              </c:strCache>
            </c:strRef>
          </c:tx>
          <c:spPr>
            <a:solidFill>
              <a:srgbClr val="c4433c"/>
            </a:solidFill>
            <a:ln w="11880">
              <a:solidFill>
                <a:srgbClr val="c4433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Calculos!$H$4:$H$28</c:f>
              <c:numCache>
                <c:formatCode>0.000</c:formatCode>
                <c:ptCount val="25"/>
                <c:pt idx="0">
                  <c:v>0.549639999999999</c:v>
                </c:pt>
                <c:pt idx="1">
                  <c:v>0.549639999999999</c:v>
                </c:pt>
                <c:pt idx="2">
                  <c:v>0.549639999999999</c:v>
                </c:pt>
                <c:pt idx="3">
                  <c:v>0.549639999999999</c:v>
                </c:pt>
                <c:pt idx="4">
                  <c:v>0.549639999999999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Calculos!I3</c:f>
              <c:strCache>
                <c:ptCount val="1"/>
                <c:pt idx="0">
                  <c:v>LIC R</c:v>
                </c:pt>
              </c:strCache>
            </c:strRef>
          </c:tx>
          <c:spPr>
            <a:solidFill>
              <a:srgbClr val="c4433c"/>
            </a:solidFill>
            <a:ln w="11880">
              <a:solidFill>
                <a:srgbClr val="c4433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Calculos!$I$4:$I$28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407697"/>
        <c:axId val="54926741"/>
      </c:lineChart>
      <c:catAx>
        <c:axId val="244076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26741"/>
        <c:crosses val="autoZero"/>
        <c:auto val="1"/>
        <c:lblAlgn val="ctr"/>
        <c:lblOffset val="100"/>
        <c:noMultiLvlLbl val="0"/>
      </c:catAx>
      <c:valAx>
        <c:axId val="54926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Rango del subgrupo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076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14</xdr:col>
      <xdr:colOff>78480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131040</xdr:rowOff>
    </xdr:from>
    <xdr:to>
      <xdr:col>14</xdr:col>
      <xdr:colOff>78480</xdr:colOff>
      <xdr:row>39</xdr:row>
      <xdr:rowOff>132120</xdr:rowOff>
    </xdr:to>
    <xdr:graphicFrame>
      <xdr:nvGraphicFramePr>
        <xdr:cNvPr id="1" name="Chart 2"/>
        <xdr:cNvGraphicFramePr/>
      </xdr:nvGraphicFramePr>
      <xdr:xfrm>
        <a:off x="0" y="43815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60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60" hidden="false" customHeight="tru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60" hidden="false" customHeight="true" outlineLevel="0" collapsed="false">
      <c r="B12" s="4" t="s">
        <v>7</v>
      </c>
    </row>
    <row r="14" customFormat="false" ht="15" hidden="false" customHeight="false" outlineLevel="0" collapsed="false">
      <c r="B14" s="3" t="s">
        <v>8</v>
      </c>
    </row>
    <row r="15" customFormat="false" ht="60" hidden="false" customHeight="true" outlineLevel="0" collapsed="false">
      <c r="B15" s="4" t="s">
        <v>9</v>
      </c>
    </row>
    <row r="17" customFormat="false" ht="15" hidden="false" customHeight="false" outlineLevel="0" collapsed="false">
      <c r="B17" s="3" t="s">
        <v>10</v>
      </c>
    </row>
    <row r="18" customFormat="false" ht="94.5" hidden="false" customHeight="true" outlineLevel="0" collapsed="false">
      <c r="B18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1" min="2" style="0" width="10"/>
  </cols>
  <sheetData>
    <row r="1" customFormat="false" ht="19.7" hidden="false" customHeight="false" outlineLevel="0" collapsed="false">
      <c r="A1" s="5" t="s">
        <v>12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6" t="s">
        <v>13</v>
      </c>
      <c r="B3" s="6"/>
      <c r="C3" s="7" t="n">
        <v>5</v>
      </c>
    </row>
    <row r="4" customFormat="false" ht="15" hidden="false" customHeight="false" outlineLevel="0" collapsed="false">
      <c r="A4" s="6" t="s">
        <v>14</v>
      </c>
      <c r="B4" s="6"/>
      <c r="C4" s="7" t="n">
        <v>5</v>
      </c>
    </row>
    <row r="5" customFormat="false" ht="15" hidden="false" customHeight="false" outlineLevel="0" collapsed="false">
      <c r="A5" s="8" t="s">
        <v>15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9" t="s">
        <v>16</v>
      </c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10" t="s">
        <v>17</v>
      </c>
      <c r="B7" s="10" t="s">
        <v>18</v>
      </c>
      <c r="C7" s="10" t="s">
        <v>19</v>
      </c>
      <c r="D7" s="10" t="s">
        <v>20</v>
      </c>
      <c r="E7" s="10" t="s">
        <v>21</v>
      </c>
      <c r="F7" s="10" t="s">
        <v>22</v>
      </c>
      <c r="G7" s="10" t="s">
        <v>23</v>
      </c>
      <c r="H7" s="10" t="s">
        <v>24</v>
      </c>
      <c r="I7" s="10" t="s">
        <v>25</v>
      </c>
      <c r="J7" s="10" t="s">
        <v>26</v>
      </c>
      <c r="K7" s="10" t="s">
        <v>27</v>
      </c>
    </row>
    <row r="8" customFormat="false" ht="15" hidden="false" customHeight="false" outlineLevel="0" collapsed="false">
      <c r="A8" s="11" t="n">
        <f aca="false">IF(1&lt;=$C$4,1,"")</f>
        <v>1</v>
      </c>
      <c r="B8" s="7" t="n">
        <v>54.8</v>
      </c>
      <c r="C8" s="7" t="n">
        <v>54.9</v>
      </c>
      <c r="D8" s="7" t="n">
        <v>55</v>
      </c>
      <c r="E8" s="7" t="n">
        <v>54.7</v>
      </c>
      <c r="F8" s="7" t="n">
        <v>54.9</v>
      </c>
      <c r="G8" s="7"/>
      <c r="H8" s="7"/>
      <c r="I8" s="7"/>
      <c r="J8" s="7"/>
      <c r="K8" s="7"/>
    </row>
    <row r="9" customFormat="false" ht="15" hidden="false" customHeight="false" outlineLevel="0" collapsed="false">
      <c r="A9" s="11" t="n">
        <f aca="false">IF(2&lt;=$C$4,2,"")</f>
        <v>2</v>
      </c>
      <c r="B9" s="7" t="n">
        <v>55.1</v>
      </c>
      <c r="C9" s="7" t="n">
        <v>55</v>
      </c>
      <c r="D9" s="7" t="n">
        <v>54.9</v>
      </c>
      <c r="E9" s="7" t="n">
        <v>55.2</v>
      </c>
      <c r="F9" s="7" t="n">
        <v>55.1</v>
      </c>
      <c r="G9" s="7"/>
      <c r="H9" s="7"/>
      <c r="I9" s="7"/>
      <c r="J9" s="7"/>
      <c r="K9" s="7"/>
    </row>
    <row r="10" customFormat="false" ht="15" hidden="false" customHeight="false" outlineLevel="0" collapsed="false">
      <c r="A10" s="11" t="n">
        <f aca="false">IF(3&lt;=$C$4,3,"")</f>
        <v>3</v>
      </c>
      <c r="B10" s="7" t="n">
        <v>55.2</v>
      </c>
      <c r="C10" s="7" t="n">
        <v>55.3</v>
      </c>
      <c r="D10" s="7" t="n">
        <v>55.1</v>
      </c>
      <c r="E10" s="7" t="n">
        <v>55.2</v>
      </c>
      <c r="F10" s="7" t="n">
        <v>55.4</v>
      </c>
      <c r="G10" s="7"/>
      <c r="H10" s="7"/>
      <c r="I10" s="7"/>
      <c r="J10" s="7"/>
      <c r="K10" s="7"/>
    </row>
    <row r="11" customFormat="false" ht="15" hidden="false" customHeight="false" outlineLevel="0" collapsed="false">
      <c r="A11" s="11" t="n">
        <f aca="false">IF(4&lt;=$C$4,4,"")</f>
        <v>4</v>
      </c>
      <c r="B11" s="7" t="n">
        <v>55.5</v>
      </c>
      <c r="C11" s="7" t="n">
        <v>55.4</v>
      </c>
      <c r="D11" s="7" t="n">
        <v>55.6</v>
      </c>
      <c r="E11" s="7" t="n">
        <v>55.5</v>
      </c>
      <c r="F11" s="7" t="n">
        <v>55.4</v>
      </c>
      <c r="G11" s="7"/>
      <c r="H11" s="7"/>
      <c r="I11" s="7"/>
      <c r="J11" s="7"/>
      <c r="K11" s="7"/>
    </row>
    <row r="12" customFormat="false" ht="15" hidden="false" customHeight="false" outlineLevel="0" collapsed="false">
      <c r="A12" s="11" t="n">
        <f aca="false">IF(5&lt;=$C$4,5,"")</f>
        <v>5</v>
      </c>
      <c r="B12" s="7" t="n">
        <v>55.8</v>
      </c>
      <c r="C12" s="7" t="n">
        <v>55.7</v>
      </c>
      <c r="D12" s="7" t="n">
        <v>55.6</v>
      </c>
      <c r="E12" s="7" t="n">
        <v>55.8</v>
      </c>
      <c r="F12" s="7" t="n">
        <v>55.7</v>
      </c>
      <c r="G12" s="7"/>
      <c r="H12" s="7"/>
      <c r="I12" s="7"/>
      <c r="J12" s="7"/>
      <c r="K12" s="7"/>
    </row>
    <row r="13" customFormat="false" ht="15" hidden="false" customHeight="false" outlineLevel="0" collapsed="false">
      <c r="A13" s="11" t="str">
        <f aca="false">IF(6&lt;=$C$4,6,"")</f>
        <v/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0" collapsed="false">
      <c r="A14" s="11" t="str">
        <f aca="false">IF(7&lt;=$C$4,7,"")</f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customFormat="false" ht="15" hidden="false" customHeight="false" outlineLevel="0" collapsed="false">
      <c r="A15" s="11" t="str">
        <f aca="false">IF(8&lt;=$C$4,8,"")</f>
        <v/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customFormat="false" ht="15" hidden="false" customHeight="false" outlineLevel="0" collapsed="false">
      <c r="A16" s="11" t="str">
        <f aca="false">IF(9&lt;=$C$4,9,"")</f>
        <v/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5" hidden="false" customHeight="false" outlineLevel="0" collapsed="false">
      <c r="A17" s="11" t="str">
        <f aca="false">IF(10&lt;=$C$4,10,"")</f>
        <v/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customFormat="false" ht="15" hidden="false" customHeight="false" outlineLevel="0" collapsed="false">
      <c r="A18" s="11" t="str">
        <f aca="false">IF(11&lt;=$C$4,11,"")</f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customFormat="false" ht="15" hidden="false" customHeight="false" outlineLevel="0" collapsed="false">
      <c r="A19" s="11" t="str">
        <f aca="false">IF(12&lt;=$C$4,12,"")</f>
        <v/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customFormat="false" ht="15" hidden="false" customHeight="false" outlineLevel="0" collapsed="false">
      <c r="A20" s="11" t="str">
        <f aca="false">IF(13&lt;=$C$4,13,"")</f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false" customHeight="false" outlineLevel="0" collapsed="false">
      <c r="A21" s="11" t="str">
        <f aca="false">IF(14&lt;=$C$4,14,"")</f>
        <v/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customFormat="false" ht="15" hidden="false" customHeight="false" outlineLevel="0" collapsed="false">
      <c r="A22" s="11" t="str">
        <f aca="false">IF(15&lt;=$C$4,15,"")</f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0" collapsed="false">
      <c r="A23" s="11" t="str">
        <f aca="false">IF(16&lt;=$C$4,16,"")</f>
        <v/>
      </c>
      <c r="B23" s="7"/>
      <c r="C23" s="7"/>
      <c r="D23" s="7"/>
      <c r="E23" s="7"/>
      <c r="F23" s="7"/>
      <c r="G23" s="7"/>
      <c r="H23" s="7"/>
      <c r="I23" s="7"/>
      <c r="J23" s="7"/>
      <c r="K23" s="7"/>
    </row>
    <row r="24" customFormat="false" ht="15" hidden="false" customHeight="false" outlineLevel="0" collapsed="false">
      <c r="A24" s="11" t="str">
        <f aca="false">IF(17&lt;=$C$4,17,"")</f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</row>
    <row r="25" customFormat="false" ht="15" hidden="false" customHeight="false" outlineLevel="0" collapsed="false">
      <c r="A25" s="11" t="str">
        <f aca="false">IF(18&lt;=$C$4,18,"")</f>
        <v/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customFormat="false" ht="15" hidden="false" customHeight="false" outlineLevel="0" collapsed="false">
      <c r="A26" s="11" t="str">
        <f aca="false">IF(19&lt;=$C$4,19,"")</f>
        <v/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customFormat="false" ht="15" hidden="false" customHeight="false" outlineLevel="0" collapsed="false">
      <c r="A27" s="11" t="str">
        <f aca="false">IF(20&lt;=$C$4,20,"")</f>
        <v/>
      </c>
      <c r="B27" s="7"/>
      <c r="C27" s="7"/>
      <c r="D27" s="7"/>
      <c r="E27" s="7"/>
      <c r="F27" s="7"/>
      <c r="G27" s="7"/>
      <c r="H27" s="7"/>
      <c r="I27" s="7"/>
      <c r="J27" s="7"/>
      <c r="K27" s="7"/>
    </row>
    <row r="28" customFormat="false" ht="15" hidden="false" customHeight="false" outlineLevel="0" collapsed="false">
      <c r="A28" s="11" t="str">
        <f aca="false">IF(21&lt;=$C$4,21,"")</f>
        <v/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5" hidden="false" customHeight="false" outlineLevel="0" collapsed="false">
      <c r="A29" s="11" t="str">
        <f aca="false">IF(22&lt;=$C$4,22,"")</f>
        <v/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0" customFormat="false" ht="15" hidden="false" customHeight="false" outlineLevel="0" collapsed="false">
      <c r="A30" s="11" t="str">
        <f aca="false">IF(23&lt;=$C$4,23,"")</f>
        <v/>
      </c>
      <c r="B30" s="7"/>
      <c r="C30" s="7"/>
      <c r="D30" s="7"/>
      <c r="E30" s="7"/>
      <c r="F30" s="7"/>
      <c r="G30" s="7"/>
      <c r="H30" s="7"/>
      <c r="I30" s="7"/>
      <c r="J30" s="7"/>
      <c r="K30" s="7"/>
    </row>
    <row r="31" customFormat="false" ht="15" hidden="false" customHeight="false" outlineLevel="0" collapsed="false">
      <c r="A31" s="11" t="str">
        <f aca="false">IF(24&lt;=$C$4,24,"")</f>
        <v/>
      </c>
      <c r="B31" s="7"/>
      <c r="C31" s="7"/>
      <c r="D31" s="7"/>
      <c r="E31" s="7"/>
      <c r="F31" s="7"/>
      <c r="G31" s="7"/>
      <c r="H31" s="7"/>
      <c r="I31" s="7"/>
      <c r="J31" s="7"/>
      <c r="K31" s="7"/>
    </row>
    <row r="32" customFormat="false" ht="15" hidden="false" customHeight="false" outlineLevel="0" collapsed="false">
      <c r="A32" s="11" t="str">
        <f aca="false">IF(25&lt;=$C$4,25,"")</f>
        <v/>
      </c>
      <c r="B32" s="7"/>
      <c r="C32" s="7"/>
      <c r="D32" s="7"/>
      <c r="E32" s="7"/>
      <c r="F32" s="7"/>
      <c r="G32" s="7"/>
      <c r="H32" s="7"/>
      <c r="I32" s="7"/>
      <c r="J32" s="7"/>
      <c r="K32" s="7"/>
    </row>
  </sheetData>
  <mergeCells count="5">
    <mergeCell ref="A1:F1"/>
    <mergeCell ref="A3:B3"/>
    <mergeCell ref="A4:B4"/>
    <mergeCell ref="A5:H5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</cols>
  <sheetData>
    <row r="1" customFormat="false" ht="19.7" hidden="false" customHeight="false" outlineLevel="0" collapsed="false">
      <c r="A1" s="5" t="s">
        <v>28</v>
      </c>
      <c r="B1" s="5"/>
      <c r="C1" s="5"/>
      <c r="D1" s="5"/>
    </row>
    <row r="2" customFormat="false" ht="15" hidden="false" customHeight="false" outlineLevel="0" collapsed="false">
      <c r="A2" s="8" t="s">
        <v>29</v>
      </c>
      <c r="B2" s="8"/>
      <c r="C2" s="8"/>
      <c r="D2" s="8"/>
    </row>
    <row r="4" customFormat="false" ht="15" hidden="false" customHeight="false" outlineLevel="0" collapsed="false">
      <c r="A4" s="10" t="s">
        <v>30</v>
      </c>
      <c r="B4" s="10" t="s">
        <v>31</v>
      </c>
      <c r="C4" s="10" t="s">
        <v>32</v>
      </c>
      <c r="D4" s="10" t="s">
        <v>33</v>
      </c>
    </row>
    <row r="5" customFormat="false" ht="15" hidden="false" customHeight="false" outlineLevel="0" collapsed="false">
      <c r="A5" s="11" t="n">
        <v>2</v>
      </c>
      <c r="B5" s="12" t="n">
        <v>1.88</v>
      </c>
      <c r="C5" s="12" t="n">
        <v>0</v>
      </c>
      <c r="D5" s="12" t="n">
        <v>3.267</v>
      </c>
    </row>
    <row r="6" customFormat="false" ht="15" hidden="false" customHeight="false" outlineLevel="0" collapsed="false">
      <c r="A6" s="11" t="n">
        <v>3</v>
      </c>
      <c r="B6" s="12" t="n">
        <v>1.023</v>
      </c>
      <c r="C6" s="12" t="n">
        <v>0</v>
      </c>
      <c r="D6" s="12" t="n">
        <v>2.574</v>
      </c>
    </row>
    <row r="7" customFormat="false" ht="15" hidden="false" customHeight="false" outlineLevel="0" collapsed="false">
      <c r="A7" s="11" t="n">
        <v>4</v>
      </c>
      <c r="B7" s="12" t="n">
        <v>0.729</v>
      </c>
      <c r="C7" s="12" t="n">
        <v>0</v>
      </c>
      <c r="D7" s="12" t="n">
        <v>2.282</v>
      </c>
    </row>
    <row r="8" customFormat="false" ht="15" hidden="false" customHeight="false" outlineLevel="0" collapsed="false">
      <c r="A8" s="11" t="n">
        <v>5</v>
      </c>
      <c r="B8" s="12" t="n">
        <v>0.577</v>
      </c>
      <c r="C8" s="12" t="n">
        <v>0</v>
      </c>
      <c r="D8" s="12" t="n">
        <v>2.114</v>
      </c>
    </row>
    <row r="9" customFormat="false" ht="15" hidden="false" customHeight="false" outlineLevel="0" collapsed="false">
      <c r="A9" s="11" t="n">
        <v>6</v>
      </c>
      <c r="B9" s="12" t="n">
        <v>0.483</v>
      </c>
      <c r="C9" s="12" t="n">
        <v>0</v>
      </c>
      <c r="D9" s="12" t="n">
        <v>2.004</v>
      </c>
    </row>
    <row r="10" customFormat="false" ht="15" hidden="false" customHeight="false" outlineLevel="0" collapsed="false">
      <c r="A10" s="11" t="n">
        <v>7</v>
      </c>
      <c r="B10" s="12" t="n">
        <v>0.419</v>
      </c>
      <c r="C10" s="12" t="n">
        <v>0.076</v>
      </c>
      <c r="D10" s="12" t="n">
        <v>1.924</v>
      </c>
    </row>
    <row r="11" customFormat="false" ht="15" hidden="false" customHeight="false" outlineLevel="0" collapsed="false">
      <c r="A11" s="11" t="n">
        <v>8</v>
      </c>
      <c r="B11" s="12" t="n">
        <v>0.373</v>
      </c>
      <c r="C11" s="12" t="n">
        <v>0.136</v>
      </c>
      <c r="D11" s="12" t="n">
        <v>1.864</v>
      </c>
    </row>
    <row r="12" customFormat="false" ht="15" hidden="false" customHeight="false" outlineLevel="0" collapsed="false">
      <c r="A12" s="11" t="n">
        <v>9</v>
      </c>
      <c r="B12" s="12" t="n">
        <v>0.337</v>
      </c>
      <c r="C12" s="12" t="n">
        <v>0.184</v>
      </c>
      <c r="D12" s="12" t="n">
        <v>1.816</v>
      </c>
    </row>
    <row r="13" customFormat="false" ht="15" hidden="false" customHeight="false" outlineLevel="0" collapsed="false">
      <c r="A13" s="11" t="n">
        <v>10</v>
      </c>
      <c r="B13" s="12" t="n">
        <v>0.308</v>
      </c>
      <c r="C13" s="12" t="n">
        <v>0.223</v>
      </c>
      <c r="D13" s="12" t="n">
        <v>1.777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9" min="4" style="0" width="9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5" t="s">
        <v>34</v>
      </c>
      <c r="B1" s="5"/>
      <c r="C1" s="5"/>
      <c r="D1" s="5"/>
      <c r="E1" s="5"/>
      <c r="F1" s="5"/>
      <c r="G1" s="5"/>
      <c r="H1" s="5"/>
      <c r="I1" s="5"/>
      <c r="J1" s="5"/>
    </row>
    <row r="3" customFormat="false" ht="15" hidden="false" customHeight="false" outlineLevel="0" collapsed="false">
      <c r="A3" s="13" t="s">
        <v>17</v>
      </c>
      <c r="B3" s="13" t="s">
        <v>35</v>
      </c>
      <c r="C3" s="13" t="s">
        <v>36</v>
      </c>
      <c r="D3" s="13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3" t="s">
        <v>42</v>
      </c>
      <c r="J3" s="13" t="s">
        <v>43</v>
      </c>
    </row>
    <row r="4" customFormat="false" ht="15" hidden="false" customHeight="false" outlineLevel="0" collapsed="false">
      <c r="A4" s="11" t="n">
        <f aca="false">Datos!A8</f>
        <v>1</v>
      </c>
      <c r="B4" s="12" t="n">
        <f aca="false">IF($A4="","",AVERAGE(Datos!B8:K8))</f>
        <v>54.86</v>
      </c>
      <c r="C4" s="12" t="n">
        <f aca="false">IF($A4="","",MAX(Datos!B8:K8)-MIN(Datos!B8:K8))</f>
        <v>0.299999999999997</v>
      </c>
      <c r="D4" s="14" t="n">
        <f aca="false">IF($A4="","",$C$37)</f>
        <v>55.272</v>
      </c>
      <c r="E4" s="14" t="n">
        <f aca="false">IF($A4="","",$C$39)</f>
        <v>55.42202</v>
      </c>
      <c r="F4" s="14" t="n">
        <f aca="false">IF($A4="","",$C$40)</f>
        <v>55.12198</v>
      </c>
      <c r="G4" s="14" t="n">
        <f aca="false">IF($A4="","",$C$38)</f>
        <v>0.259999999999999</v>
      </c>
      <c r="H4" s="14" t="n">
        <f aca="false">IF($A4="","",$C$41)</f>
        <v>0.549639999999999</v>
      </c>
      <c r="I4" s="14" t="n">
        <f aca="false">IF($A4="","",$C$42)</f>
        <v>0</v>
      </c>
      <c r="J4" s="11" t="str">
        <f aca="false">IF($A4="","",IF(OR(B4&gt;$C$39,B4&lt;$C$40,C4&gt;$C$41,C4&lt;$C$42),"Fuera de control","En control"))</f>
        <v>Fuera de control</v>
      </c>
    </row>
    <row r="5" customFormat="false" ht="15" hidden="false" customHeight="false" outlineLevel="0" collapsed="false">
      <c r="A5" s="11" t="n">
        <f aca="false">Datos!A9</f>
        <v>2</v>
      </c>
      <c r="B5" s="12" t="n">
        <f aca="false">IF($A5="","",AVERAGE(Datos!B9:K9))</f>
        <v>55.06</v>
      </c>
      <c r="C5" s="12" t="n">
        <f aca="false">IF($A5="","",MAX(Datos!B9:K9)-MIN(Datos!B9:K9))</f>
        <v>0.300000000000004</v>
      </c>
      <c r="D5" s="14" t="n">
        <f aca="false">IF($A5="","",$C$37)</f>
        <v>55.272</v>
      </c>
      <c r="E5" s="14" t="n">
        <f aca="false">IF($A5="","",$C$39)</f>
        <v>55.42202</v>
      </c>
      <c r="F5" s="14" t="n">
        <f aca="false">IF($A5="","",$C$40)</f>
        <v>55.12198</v>
      </c>
      <c r="G5" s="14" t="n">
        <f aca="false">IF($A5="","",$C$38)</f>
        <v>0.259999999999999</v>
      </c>
      <c r="H5" s="14" t="n">
        <f aca="false">IF($A5="","",$C$41)</f>
        <v>0.549639999999999</v>
      </c>
      <c r="I5" s="14" t="n">
        <f aca="false">IF($A5="","",$C$42)</f>
        <v>0</v>
      </c>
      <c r="J5" s="11" t="str">
        <f aca="false">IF($A5="","",IF(OR(B5&gt;$C$39,B5&lt;$C$40,C5&gt;$C$41,C5&lt;$C$42),"Fuera de control","En control"))</f>
        <v>Fuera de control</v>
      </c>
    </row>
    <row r="6" customFormat="false" ht="15" hidden="false" customHeight="false" outlineLevel="0" collapsed="false">
      <c r="A6" s="11" t="n">
        <f aca="false">Datos!A10</f>
        <v>3</v>
      </c>
      <c r="B6" s="12" t="n">
        <f aca="false">IF($A6="","",AVERAGE(Datos!B10:K10))</f>
        <v>55.24</v>
      </c>
      <c r="C6" s="12" t="n">
        <f aca="false">IF($A6="","",MAX(Datos!B10:K10)-MIN(Datos!B10:K10))</f>
        <v>0.299999999999997</v>
      </c>
      <c r="D6" s="14" t="n">
        <f aca="false">IF($A6="","",$C$37)</f>
        <v>55.272</v>
      </c>
      <c r="E6" s="14" t="n">
        <f aca="false">IF($A6="","",$C$39)</f>
        <v>55.42202</v>
      </c>
      <c r="F6" s="14" t="n">
        <f aca="false">IF($A6="","",$C$40)</f>
        <v>55.12198</v>
      </c>
      <c r="G6" s="14" t="n">
        <f aca="false">IF($A6="","",$C$38)</f>
        <v>0.259999999999999</v>
      </c>
      <c r="H6" s="14" t="n">
        <f aca="false">IF($A6="","",$C$41)</f>
        <v>0.549639999999999</v>
      </c>
      <c r="I6" s="14" t="n">
        <f aca="false">IF($A6="","",$C$42)</f>
        <v>0</v>
      </c>
      <c r="J6" s="11" t="str">
        <f aca="false">IF($A6="","",IF(OR(B6&gt;$C$39,B6&lt;$C$40,C6&gt;$C$41,C6&lt;$C$42),"Fuera de control","En control"))</f>
        <v>En control</v>
      </c>
    </row>
    <row r="7" customFormat="false" ht="15" hidden="false" customHeight="false" outlineLevel="0" collapsed="false">
      <c r="A7" s="11" t="n">
        <f aca="false">Datos!A11</f>
        <v>4</v>
      </c>
      <c r="B7" s="12" t="n">
        <f aca="false">IF($A7="","",AVERAGE(Datos!B11:K11))</f>
        <v>55.48</v>
      </c>
      <c r="C7" s="12" t="n">
        <f aca="false">IF($A7="","",MAX(Datos!B11:K11)-MIN(Datos!B11:K11))</f>
        <v>0.200000000000003</v>
      </c>
      <c r="D7" s="14" t="n">
        <f aca="false">IF($A7="","",$C$37)</f>
        <v>55.272</v>
      </c>
      <c r="E7" s="14" t="n">
        <f aca="false">IF($A7="","",$C$39)</f>
        <v>55.42202</v>
      </c>
      <c r="F7" s="14" t="n">
        <f aca="false">IF($A7="","",$C$40)</f>
        <v>55.12198</v>
      </c>
      <c r="G7" s="14" t="n">
        <f aca="false">IF($A7="","",$C$38)</f>
        <v>0.259999999999999</v>
      </c>
      <c r="H7" s="14" t="n">
        <f aca="false">IF($A7="","",$C$41)</f>
        <v>0.549639999999999</v>
      </c>
      <c r="I7" s="14" t="n">
        <f aca="false">IF($A7="","",$C$42)</f>
        <v>0</v>
      </c>
      <c r="J7" s="11" t="str">
        <f aca="false">IF($A7="","",IF(OR(B7&gt;$C$39,B7&lt;$C$40,C7&gt;$C$41,C7&lt;$C$42),"Fuera de control","En control"))</f>
        <v>Fuera de control</v>
      </c>
    </row>
    <row r="8" customFormat="false" ht="15" hidden="false" customHeight="false" outlineLevel="0" collapsed="false">
      <c r="A8" s="11" t="n">
        <f aca="false">Datos!A12</f>
        <v>5</v>
      </c>
      <c r="B8" s="12" t="n">
        <f aca="false">IF($A8="","",AVERAGE(Datos!B12:K12))</f>
        <v>55.72</v>
      </c>
      <c r="C8" s="12" t="n">
        <f aca="false">IF($A8="","",MAX(Datos!B12:K12)-MIN(Datos!B12:K12))</f>
        <v>0.199999999999996</v>
      </c>
      <c r="D8" s="14" t="n">
        <f aca="false">IF($A8="","",$C$37)</f>
        <v>55.272</v>
      </c>
      <c r="E8" s="14" t="n">
        <f aca="false">IF($A8="","",$C$39)</f>
        <v>55.42202</v>
      </c>
      <c r="F8" s="14" t="n">
        <f aca="false">IF($A8="","",$C$40)</f>
        <v>55.12198</v>
      </c>
      <c r="G8" s="14" t="n">
        <f aca="false">IF($A8="","",$C$38)</f>
        <v>0.259999999999999</v>
      </c>
      <c r="H8" s="14" t="n">
        <f aca="false">IF($A8="","",$C$41)</f>
        <v>0.549639999999999</v>
      </c>
      <c r="I8" s="14" t="n">
        <f aca="false">IF($A8="","",$C$42)</f>
        <v>0</v>
      </c>
      <c r="J8" s="11" t="str">
        <f aca="false">IF($A8="","",IF(OR(B8&gt;$C$39,B8&lt;$C$40,C8&gt;$C$41,C8&lt;$C$42),"Fuera de control","En control"))</f>
        <v>Fuera de control</v>
      </c>
    </row>
    <row r="9" customFormat="false" ht="15" hidden="false" customHeight="false" outlineLevel="0" collapsed="false">
      <c r="A9" s="11" t="str">
        <f aca="false">Datos!A13</f>
        <v/>
      </c>
      <c r="B9" s="12" t="str">
        <f aca="false">IF($A9="","",AVERAGE(Datos!B13:K13))</f>
        <v/>
      </c>
      <c r="C9" s="12" t="str">
        <f aca="false">IF($A9="","",MAX(Datos!B13:K13)-MIN(Datos!B13:K13))</f>
        <v/>
      </c>
      <c r="D9" s="14" t="str">
        <f aca="false">IF($A9="","",$C$37)</f>
        <v/>
      </c>
      <c r="E9" s="14" t="str">
        <f aca="false">IF($A9="","",$C$39)</f>
        <v/>
      </c>
      <c r="F9" s="14" t="str">
        <f aca="false">IF($A9="","",$C$40)</f>
        <v/>
      </c>
      <c r="G9" s="14" t="str">
        <f aca="false">IF($A9="","",$C$38)</f>
        <v/>
      </c>
      <c r="H9" s="14" t="str">
        <f aca="false">IF($A9="","",$C$41)</f>
        <v/>
      </c>
      <c r="I9" s="14" t="str">
        <f aca="false">IF($A9="","",$C$42)</f>
        <v/>
      </c>
      <c r="J9" s="11" t="str">
        <f aca="false">IF($A9="","",IF(OR(B9&gt;$C$39,B9&lt;$C$40,C9&gt;$C$41,C9&lt;$C$42),"Fuera de control","En control"))</f>
        <v/>
      </c>
    </row>
    <row r="10" customFormat="false" ht="15" hidden="false" customHeight="false" outlineLevel="0" collapsed="false">
      <c r="A10" s="11" t="str">
        <f aca="false">Datos!A14</f>
        <v/>
      </c>
      <c r="B10" s="12" t="str">
        <f aca="false">IF($A10="","",AVERAGE(Datos!B14:K14))</f>
        <v/>
      </c>
      <c r="C10" s="12" t="str">
        <f aca="false">IF($A10="","",MAX(Datos!B14:K14)-MIN(Datos!B14:K14))</f>
        <v/>
      </c>
      <c r="D10" s="14" t="str">
        <f aca="false">IF($A10="","",$C$37)</f>
        <v/>
      </c>
      <c r="E10" s="14" t="str">
        <f aca="false">IF($A10="","",$C$39)</f>
        <v/>
      </c>
      <c r="F10" s="14" t="str">
        <f aca="false">IF($A10="","",$C$40)</f>
        <v/>
      </c>
      <c r="G10" s="14" t="str">
        <f aca="false">IF($A10="","",$C$38)</f>
        <v/>
      </c>
      <c r="H10" s="14" t="str">
        <f aca="false">IF($A10="","",$C$41)</f>
        <v/>
      </c>
      <c r="I10" s="14" t="str">
        <f aca="false">IF($A10="","",$C$42)</f>
        <v/>
      </c>
      <c r="J10" s="11" t="str">
        <f aca="false">IF($A10="","",IF(OR(B10&gt;$C$39,B10&lt;$C$40,C10&gt;$C$41,C10&lt;$C$42),"Fuera de control","En control"))</f>
        <v/>
      </c>
    </row>
    <row r="11" customFormat="false" ht="15" hidden="false" customHeight="false" outlineLevel="0" collapsed="false">
      <c r="A11" s="11" t="str">
        <f aca="false">Datos!A15</f>
        <v/>
      </c>
      <c r="B11" s="12" t="str">
        <f aca="false">IF($A11="","",AVERAGE(Datos!B15:K15))</f>
        <v/>
      </c>
      <c r="C11" s="12" t="str">
        <f aca="false">IF($A11="","",MAX(Datos!B15:K15)-MIN(Datos!B15:K15))</f>
        <v/>
      </c>
      <c r="D11" s="14" t="str">
        <f aca="false">IF($A11="","",$C$37)</f>
        <v/>
      </c>
      <c r="E11" s="14" t="str">
        <f aca="false">IF($A11="","",$C$39)</f>
        <v/>
      </c>
      <c r="F11" s="14" t="str">
        <f aca="false">IF($A11="","",$C$40)</f>
        <v/>
      </c>
      <c r="G11" s="14" t="str">
        <f aca="false">IF($A11="","",$C$38)</f>
        <v/>
      </c>
      <c r="H11" s="14" t="str">
        <f aca="false">IF($A11="","",$C$41)</f>
        <v/>
      </c>
      <c r="I11" s="14" t="str">
        <f aca="false">IF($A11="","",$C$42)</f>
        <v/>
      </c>
      <c r="J11" s="11" t="str">
        <f aca="false">IF($A11="","",IF(OR(B11&gt;$C$39,B11&lt;$C$40,C11&gt;$C$41,C11&lt;$C$42),"Fuera de control","En control"))</f>
        <v/>
      </c>
    </row>
    <row r="12" customFormat="false" ht="15" hidden="false" customHeight="false" outlineLevel="0" collapsed="false">
      <c r="A12" s="11" t="str">
        <f aca="false">Datos!A16</f>
        <v/>
      </c>
      <c r="B12" s="12" t="str">
        <f aca="false">IF($A12="","",AVERAGE(Datos!B16:K16))</f>
        <v/>
      </c>
      <c r="C12" s="12" t="str">
        <f aca="false">IF($A12="","",MAX(Datos!B16:K16)-MIN(Datos!B16:K16))</f>
        <v/>
      </c>
      <c r="D12" s="14" t="str">
        <f aca="false">IF($A12="","",$C$37)</f>
        <v/>
      </c>
      <c r="E12" s="14" t="str">
        <f aca="false">IF($A12="","",$C$39)</f>
        <v/>
      </c>
      <c r="F12" s="14" t="str">
        <f aca="false">IF($A12="","",$C$40)</f>
        <v/>
      </c>
      <c r="G12" s="14" t="str">
        <f aca="false">IF($A12="","",$C$38)</f>
        <v/>
      </c>
      <c r="H12" s="14" t="str">
        <f aca="false">IF($A12="","",$C$41)</f>
        <v/>
      </c>
      <c r="I12" s="14" t="str">
        <f aca="false">IF($A12="","",$C$42)</f>
        <v/>
      </c>
      <c r="J12" s="11" t="str">
        <f aca="false">IF($A12="","",IF(OR(B12&gt;$C$39,B12&lt;$C$40,C12&gt;$C$41,C12&lt;$C$42),"Fuera de control","En control"))</f>
        <v/>
      </c>
    </row>
    <row r="13" customFormat="false" ht="15" hidden="false" customHeight="false" outlineLevel="0" collapsed="false">
      <c r="A13" s="11" t="str">
        <f aca="false">Datos!A17</f>
        <v/>
      </c>
      <c r="B13" s="12" t="str">
        <f aca="false">IF($A13="","",AVERAGE(Datos!B17:K17))</f>
        <v/>
      </c>
      <c r="C13" s="12" t="str">
        <f aca="false">IF($A13="","",MAX(Datos!B17:K17)-MIN(Datos!B17:K17))</f>
        <v/>
      </c>
      <c r="D13" s="14" t="str">
        <f aca="false">IF($A13="","",$C$37)</f>
        <v/>
      </c>
      <c r="E13" s="14" t="str">
        <f aca="false">IF($A13="","",$C$39)</f>
        <v/>
      </c>
      <c r="F13" s="14" t="str">
        <f aca="false">IF($A13="","",$C$40)</f>
        <v/>
      </c>
      <c r="G13" s="14" t="str">
        <f aca="false">IF($A13="","",$C$38)</f>
        <v/>
      </c>
      <c r="H13" s="14" t="str">
        <f aca="false">IF($A13="","",$C$41)</f>
        <v/>
      </c>
      <c r="I13" s="14" t="str">
        <f aca="false">IF($A13="","",$C$42)</f>
        <v/>
      </c>
      <c r="J13" s="11" t="str">
        <f aca="false">IF($A13="","",IF(OR(B13&gt;$C$39,B13&lt;$C$40,C13&gt;$C$41,C13&lt;$C$42),"Fuera de control","En control"))</f>
        <v/>
      </c>
    </row>
    <row r="14" customFormat="false" ht="15" hidden="false" customHeight="false" outlineLevel="0" collapsed="false">
      <c r="A14" s="11" t="str">
        <f aca="false">Datos!A18</f>
        <v/>
      </c>
      <c r="B14" s="12" t="str">
        <f aca="false">IF($A14="","",AVERAGE(Datos!B18:K18))</f>
        <v/>
      </c>
      <c r="C14" s="12" t="str">
        <f aca="false">IF($A14="","",MAX(Datos!B18:K18)-MIN(Datos!B18:K18))</f>
        <v/>
      </c>
      <c r="D14" s="14" t="str">
        <f aca="false">IF($A14="","",$C$37)</f>
        <v/>
      </c>
      <c r="E14" s="14" t="str">
        <f aca="false">IF($A14="","",$C$39)</f>
        <v/>
      </c>
      <c r="F14" s="14" t="str">
        <f aca="false">IF($A14="","",$C$40)</f>
        <v/>
      </c>
      <c r="G14" s="14" t="str">
        <f aca="false">IF($A14="","",$C$38)</f>
        <v/>
      </c>
      <c r="H14" s="14" t="str">
        <f aca="false">IF($A14="","",$C$41)</f>
        <v/>
      </c>
      <c r="I14" s="14" t="str">
        <f aca="false">IF($A14="","",$C$42)</f>
        <v/>
      </c>
      <c r="J14" s="11" t="str">
        <f aca="false">IF($A14="","",IF(OR(B14&gt;$C$39,B14&lt;$C$40,C14&gt;$C$41,C14&lt;$C$42),"Fuera de control","En control"))</f>
        <v/>
      </c>
    </row>
    <row r="15" customFormat="false" ht="15" hidden="false" customHeight="false" outlineLevel="0" collapsed="false">
      <c r="A15" s="11" t="str">
        <f aca="false">Datos!A19</f>
        <v/>
      </c>
      <c r="B15" s="12" t="str">
        <f aca="false">IF($A15="","",AVERAGE(Datos!B19:K19))</f>
        <v/>
      </c>
      <c r="C15" s="12" t="str">
        <f aca="false">IF($A15="","",MAX(Datos!B19:K19)-MIN(Datos!B19:K19))</f>
        <v/>
      </c>
      <c r="D15" s="14" t="str">
        <f aca="false">IF($A15="","",$C$37)</f>
        <v/>
      </c>
      <c r="E15" s="14" t="str">
        <f aca="false">IF($A15="","",$C$39)</f>
        <v/>
      </c>
      <c r="F15" s="14" t="str">
        <f aca="false">IF($A15="","",$C$40)</f>
        <v/>
      </c>
      <c r="G15" s="14" t="str">
        <f aca="false">IF($A15="","",$C$38)</f>
        <v/>
      </c>
      <c r="H15" s="14" t="str">
        <f aca="false">IF($A15="","",$C$41)</f>
        <v/>
      </c>
      <c r="I15" s="14" t="str">
        <f aca="false">IF($A15="","",$C$42)</f>
        <v/>
      </c>
      <c r="J15" s="11" t="str">
        <f aca="false">IF($A15="","",IF(OR(B15&gt;$C$39,B15&lt;$C$40,C15&gt;$C$41,C15&lt;$C$42),"Fuera de control","En control"))</f>
        <v/>
      </c>
    </row>
    <row r="16" customFormat="false" ht="15" hidden="false" customHeight="false" outlineLevel="0" collapsed="false">
      <c r="A16" s="11" t="str">
        <f aca="false">Datos!A20</f>
        <v/>
      </c>
      <c r="B16" s="12" t="str">
        <f aca="false">IF($A16="","",AVERAGE(Datos!B20:K20))</f>
        <v/>
      </c>
      <c r="C16" s="12" t="str">
        <f aca="false">IF($A16="","",MAX(Datos!B20:K20)-MIN(Datos!B20:K20))</f>
        <v/>
      </c>
      <c r="D16" s="14" t="str">
        <f aca="false">IF($A16="","",$C$37)</f>
        <v/>
      </c>
      <c r="E16" s="14" t="str">
        <f aca="false">IF($A16="","",$C$39)</f>
        <v/>
      </c>
      <c r="F16" s="14" t="str">
        <f aca="false">IF($A16="","",$C$40)</f>
        <v/>
      </c>
      <c r="G16" s="14" t="str">
        <f aca="false">IF($A16="","",$C$38)</f>
        <v/>
      </c>
      <c r="H16" s="14" t="str">
        <f aca="false">IF($A16="","",$C$41)</f>
        <v/>
      </c>
      <c r="I16" s="14" t="str">
        <f aca="false">IF($A16="","",$C$42)</f>
        <v/>
      </c>
      <c r="J16" s="11" t="str">
        <f aca="false">IF($A16="","",IF(OR(B16&gt;$C$39,B16&lt;$C$40,C16&gt;$C$41,C16&lt;$C$42),"Fuera de control","En control"))</f>
        <v/>
      </c>
    </row>
    <row r="17" customFormat="false" ht="15" hidden="false" customHeight="false" outlineLevel="0" collapsed="false">
      <c r="A17" s="11" t="str">
        <f aca="false">Datos!A21</f>
        <v/>
      </c>
      <c r="B17" s="12" t="str">
        <f aca="false">IF($A17="","",AVERAGE(Datos!B21:K21))</f>
        <v/>
      </c>
      <c r="C17" s="12" t="str">
        <f aca="false">IF($A17="","",MAX(Datos!B21:K21)-MIN(Datos!B21:K21))</f>
        <v/>
      </c>
      <c r="D17" s="14" t="str">
        <f aca="false">IF($A17="","",$C$37)</f>
        <v/>
      </c>
      <c r="E17" s="14" t="str">
        <f aca="false">IF($A17="","",$C$39)</f>
        <v/>
      </c>
      <c r="F17" s="14" t="str">
        <f aca="false">IF($A17="","",$C$40)</f>
        <v/>
      </c>
      <c r="G17" s="14" t="str">
        <f aca="false">IF($A17="","",$C$38)</f>
        <v/>
      </c>
      <c r="H17" s="14" t="str">
        <f aca="false">IF($A17="","",$C$41)</f>
        <v/>
      </c>
      <c r="I17" s="14" t="str">
        <f aca="false">IF($A17="","",$C$42)</f>
        <v/>
      </c>
      <c r="J17" s="11" t="str">
        <f aca="false">IF($A17="","",IF(OR(B17&gt;$C$39,B17&lt;$C$40,C17&gt;$C$41,C17&lt;$C$42),"Fuera de control","En control"))</f>
        <v/>
      </c>
    </row>
    <row r="18" customFormat="false" ht="15" hidden="false" customHeight="false" outlineLevel="0" collapsed="false">
      <c r="A18" s="11" t="str">
        <f aca="false">Datos!A22</f>
        <v/>
      </c>
      <c r="B18" s="12" t="str">
        <f aca="false">IF($A18="","",AVERAGE(Datos!B22:K22))</f>
        <v/>
      </c>
      <c r="C18" s="12" t="str">
        <f aca="false">IF($A18="","",MAX(Datos!B22:K22)-MIN(Datos!B22:K22))</f>
        <v/>
      </c>
      <c r="D18" s="14" t="str">
        <f aca="false">IF($A18="","",$C$37)</f>
        <v/>
      </c>
      <c r="E18" s="14" t="str">
        <f aca="false">IF($A18="","",$C$39)</f>
        <v/>
      </c>
      <c r="F18" s="14" t="str">
        <f aca="false">IF($A18="","",$C$40)</f>
        <v/>
      </c>
      <c r="G18" s="14" t="str">
        <f aca="false">IF($A18="","",$C$38)</f>
        <v/>
      </c>
      <c r="H18" s="14" t="str">
        <f aca="false">IF($A18="","",$C$41)</f>
        <v/>
      </c>
      <c r="I18" s="14" t="str">
        <f aca="false">IF($A18="","",$C$42)</f>
        <v/>
      </c>
      <c r="J18" s="11" t="str">
        <f aca="false">IF($A18="","",IF(OR(B18&gt;$C$39,B18&lt;$C$40,C18&gt;$C$41,C18&lt;$C$42),"Fuera de control","En control"))</f>
        <v/>
      </c>
    </row>
    <row r="19" customFormat="false" ht="15" hidden="false" customHeight="false" outlineLevel="0" collapsed="false">
      <c r="A19" s="11" t="str">
        <f aca="false">Datos!A23</f>
        <v/>
      </c>
      <c r="B19" s="12" t="str">
        <f aca="false">IF($A19="","",AVERAGE(Datos!B23:K23))</f>
        <v/>
      </c>
      <c r="C19" s="12" t="str">
        <f aca="false">IF($A19="","",MAX(Datos!B23:K23)-MIN(Datos!B23:K23))</f>
        <v/>
      </c>
      <c r="D19" s="14" t="str">
        <f aca="false">IF($A19="","",$C$37)</f>
        <v/>
      </c>
      <c r="E19" s="14" t="str">
        <f aca="false">IF($A19="","",$C$39)</f>
        <v/>
      </c>
      <c r="F19" s="14" t="str">
        <f aca="false">IF($A19="","",$C$40)</f>
        <v/>
      </c>
      <c r="G19" s="14" t="str">
        <f aca="false">IF($A19="","",$C$38)</f>
        <v/>
      </c>
      <c r="H19" s="14" t="str">
        <f aca="false">IF($A19="","",$C$41)</f>
        <v/>
      </c>
      <c r="I19" s="14" t="str">
        <f aca="false">IF($A19="","",$C$42)</f>
        <v/>
      </c>
      <c r="J19" s="11" t="str">
        <f aca="false">IF($A19="","",IF(OR(B19&gt;$C$39,B19&lt;$C$40,C19&gt;$C$41,C19&lt;$C$42),"Fuera de control","En control"))</f>
        <v/>
      </c>
    </row>
    <row r="20" customFormat="false" ht="15" hidden="false" customHeight="false" outlineLevel="0" collapsed="false">
      <c r="A20" s="11" t="str">
        <f aca="false">Datos!A24</f>
        <v/>
      </c>
      <c r="B20" s="12" t="str">
        <f aca="false">IF($A20="","",AVERAGE(Datos!B24:K24))</f>
        <v/>
      </c>
      <c r="C20" s="12" t="str">
        <f aca="false">IF($A20="","",MAX(Datos!B24:K24)-MIN(Datos!B24:K24))</f>
        <v/>
      </c>
      <c r="D20" s="14" t="str">
        <f aca="false">IF($A20="","",$C$37)</f>
        <v/>
      </c>
      <c r="E20" s="14" t="str">
        <f aca="false">IF($A20="","",$C$39)</f>
        <v/>
      </c>
      <c r="F20" s="14" t="str">
        <f aca="false">IF($A20="","",$C$40)</f>
        <v/>
      </c>
      <c r="G20" s="14" t="str">
        <f aca="false">IF($A20="","",$C$38)</f>
        <v/>
      </c>
      <c r="H20" s="14" t="str">
        <f aca="false">IF($A20="","",$C$41)</f>
        <v/>
      </c>
      <c r="I20" s="14" t="str">
        <f aca="false">IF($A20="","",$C$42)</f>
        <v/>
      </c>
      <c r="J20" s="11" t="str">
        <f aca="false">IF($A20="","",IF(OR(B20&gt;$C$39,B20&lt;$C$40,C20&gt;$C$41,C20&lt;$C$42),"Fuera de control","En control"))</f>
        <v/>
      </c>
    </row>
    <row r="21" customFormat="false" ht="15" hidden="false" customHeight="false" outlineLevel="0" collapsed="false">
      <c r="A21" s="11" t="str">
        <f aca="false">Datos!A25</f>
        <v/>
      </c>
      <c r="B21" s="12" t="str">
        <f aca="false">IF($A21="","",AVERAGE(Datos!B25:K25))</f>
        <v/>
      </c>
      <c r="C21" s="12" t="str">
        <f aca="false">IF($A21="","",MAX(Datos!B25:K25)-MIN(Datos!B25:K25))</f>
        <v/>
      </c>
      <c r="D21" s="14" t="str">
        <f aca="false">IF($A21="","",$C$37)</f>
        <v/>
      </c>
      <c r="E21" s="14" t="str">
        <f aca="false">IF($A21="","",$C$39)</f>
        <v/>
      </c>
      <c r="F21" s="14" t="str">
        <f aca="false">IF($A21="","",$C$40)</f>
        <v/>
      </c>
      <c r="G21" s="14" t="str">
        <f aca="false">IF($A21="","",$C$38)</f>
        <v/>
      </c>
      <c r="H21" s="14" t="str">
        <f aca="false">IF($A21="","",$C$41)</f>
        <v/>
      </c>
      <c r="I21" s="14" t="str">
        <f aca="false">IF($A21="","",$C$42)</f>
        <v/>
      </c>
      <c r="J21" s="11" t="str">
        <f aca="false">IF($A21="","",IF(OR(B21&gt;$C$39,B21&lt;$C$40,C21&gt;$C$41,C21&lt;$C$42),"Fuera de control","En control"))</f>
        <v/>
      </c>
    </row>
    <row r="22" customFormat="false" ht="15" hidden="false" customHeight="false" outlineLevel="0" collapsed="false">
      <c r="A22" s="11" t="str">
        <f aca="false">Datos!A26</f>
        <v/>
      </c>
      <c r="B22" s="12" t="str">
        <f aca="false">IF($A22="","",AVERAGE(Datos!B26:K26))</f>
        <v/>
      </c>
      <c r="C22" s="12" t="str">
        <f aca="false">IF($A22="","",MAX(Datos!B26:K26)-MIN(Datos!B26:K26))</f>
        <v/>
      </c>
      <c r="D22" s="14" t="str">
        <f aca="false">IF($A22="","",$C$37)</f>
        <v/>
      </c>
      <c r="E22" s="14" t="str">
        <f aca="false">IF($A22="","",$C$39)</f>
        <v/>
      </c>
      <c r="F22" s="14" t="str">
        <f aca="false">IF($A22="","",$C$40)</f>
        <v/>
      </c>
      <c r="G22" s="14" t="str">
        <f aca="false">IF($A22="","",$C$38)</f>
        <v/>
      </c>
      <c r="H22" s="14" t="str">
        <f aca="false">IF($A22="","",$C$41)</f>
        <v/>
      </c>
      <c r="I22" s="14" t="str">
        <f aca="false">IF($A22="","",$C$42)</f>
        <v/>
      </c>
      <c r="J22" s="11" t="str">
        <f aca="false">IF($A22="","",IF(OR(B22&gt;$C$39,B22&lt;$C$40,C22&gt;$C$41,C22&lt;$C$42),"Fuera de control","En control"))</f>
        <v/>
      </c>
    </row>
    <row r="23" customFormat="false" ht="15" hidden="false" customHeight="false" outlineLevel="0" collapsed="false">
      <c r="A23" s="11" t="str">
        <f aca="false">Datos!A27</f>
        <v/>
      </c>
      <c r="B23" s="12" t="str">
        <f aca="false">IF($A23="","",AVERAGE(Datos!B27:K27))</f>
        <v/>
      </c>
      <c r="C23" s="12" t="str">
        <f aca="false">IF($A23="","",MAX(Datos!B27:K27)-MIN(Datos!B27:K27))</f>
        <v/>
      </c>
      <c r="D23" s="14" t="str">
        <f aca="false">IF($A23="","",$C$37)</f>
        <v/>
      </c>
      <c r="E23" s="14" t="str">
        <f aca="false">IF($A23="","",$C$39)</f>
        <v/>
      </c>
      <c r="F23" s="14" t="str">
        <f aca="false">IF($A23="","",$C$40)</f>
        <v/>
      </c>
      <c r="G23" s="14" t="str">
        <f aca="false">IF($A23="","",$C$38)</f>
        <v/>
      </c>
      <c r="H23" s="14" t="str">
        <f aca="false">IF($A23="","",$C$41)</f>
        <v/>
      </c>
      <c r="I23" s="14" t="str">
        <f aca="false">IF($A23="","",$C$42)</f>
        <v/>
      </c>
      <c r="J23" s="11" t="str">
        <f aca="false">IF($A23="","",IF(OR(B23&gt;$C$39,B23&lt;$C$40,C23&gt;$C$41,C23&lt;$C$42),"Fuera de control","En control"))</f>
        <v/>
      </c>
    </row>
    <row r="24" customFormat="false" ht="15" hidden="false" customHeight="false" outlineLevel="0" collapsed="false">
      <c r="A24" s="11" t="str">
        <f aca="false">Datos!A28</f>
        <v/>
      </c>
      <c r="B24" s="12" t="str">
        <f aca="false">IF($A24="","",AVERAGE(Datos!B28:K28))</f>
        <v/>
      </c>
      <c r="C24" s="12" t="str">
        <f aca="false">IF($A24="","",MAX(Datos!B28:K28)-MIN(Datos!B28:K28))</f>
        <v/>
      </c>
      <c r="D24" s="14" t="str">
        <f aca="false">IF($A24="","",$C$37)</f>
        <v/>
      </c>
      <c r="E24" s="14" t="str">
        <f aca="false">IF($A24="","",$C$39)</f>
        <v/>
      </c>
      <c r="F24" s="14" t="str">
        <f aca="false">IF($A24="","",$C$40)</f>
        <v/>
      </c>
      <c r="G24" s="14" t="str">
        <f aca="false">IF($A24="","",$C$38)</f>
        <v/>
      </c>
      <c r="H24" s="14" t="str">
        <f aca="false">IF($A24="","",$C$41)</f>
        <v/>
      </c>
      <c r="I24" s="14" t="str">
        <f aca="false">IF($A24="","",$C$42)</f>
        <v/>
      </c>
      <c r="J24" s="11" t="str">
        <f aca="false">IF($A24="","",IF(OR(B24&gt;$C$39,B24&lt;$C$40,C24&gt;$C$41,C24&lt;$C$42),"Fuera de control","En control"))</f>
        <v/>
      </c>
    </row>
    <row r="25" customFormat="false" ht="15" hidden="false" customHeight="false" outlineLevel="0" collapsed="false">
      <c r="A25" s="11" t="str">
        <f aca="false">Datos!A29</f>
        <v/>
      </c>
      <c r="B25" s="12" t="str">
        <f aca="false">IF($A25="","",AVERAGE(Datos!B29:K29))</f>
        <v/>
      </c>
      <c r="C25" s="12" t="str">
        <f aca="false">IF($A25="","",MAX(Datos!B29:K29)-MIN(Datos!B29:K29))</f>
        <v/>
      </c>
      <c r="D25" s="14" t="str">
        <f aca="false">IF($A25="","",$C$37)</f>
        <v/>
      </c>
      <c r="E25" s="14" t="str">
        <f aca="false">IF($A25="","",$C$39)</f>
        <v/>
      </c>
      <c r="F25" s="14" t="str">
        <f aca="false">IF($A25="","",$C$40)</f>
        <v/>
      </c>
      <c r="G25" s="14" t="str">
        <f aca="false">IF($A25="","",$C$38)</f>
        <v/>
      </c>
      <c r="H25" s="14" t="str">
        <f aca="false">IF($A25="","",$C$41)</f>
        <v/>
      </c>
      <c r="I25" s="14" t="str">
        <f aca="false">IF($A25="","",$C$42)</f>
        <v/>
      </c>
      <c r="J25" s="11" t="str">
        <f aca="false">IF($A25="","",IF(OR(B25&gt;$C$39,B25&lt;$C$40,C25&gt;$C$41,C25&lt;$C$42),"Fuera de control","En control"))</f>
        <v/>
      </c>
    </row>
    <row r="26" customFormat="false" ht="15" hidden="false" customHeight="false" outlineLevel="0" collapsed="false">
      <c r="A26" s="11" t="str">
        <f aca="false">Datos!A30</f>
        <v/>
      </c>
      <c r="B26" s="12" t="str">
        <f aca="false">IF($A26="","",AVERAGE(Datos!B30:K30))</f>
        <v/>
      </c>
      <c r="C26" s="12" t="str">
        <f aca="false">IF($A26="","",MAX(Datos!B30:K30)-MIN(Datos!B30:K30))</f>
        <v/>
      </c>
      <c r="D26" s="14" t="str">
        <f aca="false">IF($A26="","",$C$37)</f>
        <v/>
      </c>
      <c r="E26" s="14" t="str">
        <f aca="false">IF($A26="","",$C$39)</f>
        <v/>
      </c>
      <c r="F26" s="14" t="str">
        <f aca="false">IF($A26="","",$C$40)</f>
        <v/>
      </c>
      <c r="G26" s="14" t="str">
        <f aca="false">IF($A26="","",$C$38)</f>
        <v/>
      </c>
      <c r="H26" s="14" t="str">
        <f aca="false">IF($A26="","",$C$41)</f>
        <v/>
      </c>
      <c r="I26" s="14" t="str">
        <f aca="false">IF($A26="","",$C$42)</f>
        <v/>
      </c>
      <c r="J26" s="11" t="str">
        <f aca="false">IF($A26="","",IF(OR(B26&gt;$C$39,B26&lt;$C$40,C26&gt;$C$41,C26&lt;$C$42),"Fuera de control","En control"))</f>
        <v/>
      </c>
    </row>
    <row r="27" customFormat="false" ht="15" hidden="false" customHeight="false" outlineLevel="0" collapsed="false">
      <c r="A27" s="11" t="str">
        <f aca="false">Datos!A31</f>
        <v/>
      </c>
      <c r="B27" s="12" t="str">
        <f aca="false">IF($A27="","",AVERAGE(Datos!B31:K31))</f>
        <v/>
      </c>
      <c r="C27" s="12" t="str">
        <f aca="false">IF($A27="","",MAX(Datos!B31:K31)-MIN(Datos!B31:K31))</f>
        <v/>
      </c>
      <c r="D27" s="14" t="str">
        <f aca="false">IF($A27="","",$C$37)</f>
        <v/>
      </c>
      <c r="E27" s="14" t="str">
        <f aca="false">IF($A27="","",$C$39)</f>
        <v/>
      </c>
      <c r="F27" s="14" t="str">
        <f aca="false">IF($A27="","",$C$40)</f>
        <v/>
      </c>
      <c r="G27" s="14" t="str">
        <f aca="false">IF($A27="","",$C$38)</f>
        <v/>
      </c>
      <c r="H27" s="14" t="str">
        <f aca="false">IF($A27="","",$C$41)</f>
        <v/>
      </c>
      <c r="I27" s="14" t="str">
        <f aca="false">IF($A27="","",$C$42)</f>
        <v/>
      </c>
      <c r="J27" s="11" t="str">
        <f aca="false">IF($A27="","",IF(OR(B27&gt;$C$39,B27&lt;$C$40,C27&gt;$C$41,C27&lt;$C$42),"Fuera de control","En control"))</f>
        <v/>
      </c>
    </row>
    <row r="28" customFormat="false" ht="15" hidden="false" customHeight="false" outlineLevel="0" collapsed="false">
      <c r="A28" s="11" t="str">
        <f aca="false">Datos!A32</f>
        <v/>
      </c>
      <c r="B28" s="12" t="str">
        <f aca="false">IF($A28="","",AVERAGE(Datos!B32:K32))</f>
        <v/>
      </c>
      <c r="C28" s="12" t="str">
        <f aca="false">IF($A28="","",MAX(Datos!B32:K32)-MIN(Datos!B32:K32))</f>
        <v/>
      </c>
      <c r="D28" s="14" t="str">
        <f aca="false">IF($A28="","",$C$37)</f>
        <v/>
      </c>
      <c r="E28" s="14" t="str">
        <f aca="false">IF($A28="","",$C$39)</f>
        <v/>
      </c>
      <c r="F28" s="14" t="str">
        <f aca="false">IF($A28="","",$C$40)</f>
        <v/>
      </c>
      <c r="G28" s="14" t="str">
        <f aca="false">IF($A28="","",$C$38)</f>
        <v/>
      </c>
      <c r="H28" s="14" t="str">
        <f aca="false">IF($A28="","",$C$41)</f>
        <v/>
      </c>
      <c r="I28" s="14" t="str">
        <f aca="false">IF($A28="","",$C$42)</f>
        <v/>
      </c>
      <c r="J28" s="11" t="str">
        <f aca="false">IF($A28="","",IF(OR(B28&gt;$C$39,B28&lt;$C$40,C28&gt;$C$41,C28&lt;$C$42),"Fuera de control","En control"))</f>
        <v/>
      </c>
    </row>
    <row r="31" customFormat="false" ht="15" hidden="false" customHeight="false" outlineLevel="0" collapsed="false">
      <c r="A31" s="15" t="s">
        <v>44</v>
      </c>
      <c r="B31" s="15"/>
      <c r="C31" s="15"/>
    </row>
    <row r="32" customFormat="false" ht="15" hidden="false" customHeight="false" outlineLevel="0" collapsed="false">
      <c r="A32" s="6" t="s">
        <v>45</v>
      </c>
      <c r="B32" s="6"/>
      <c r="C32" s="16" t="n">
        <f aca="false">Datos!C3</f>
        <v>5</v>
      </c>
    </row>
    <row r="33" customFormat="false" ht="15" hidden="false" customHeight="false" outlineLevel="0" collapsed="false">
      <c r="A33" s="6" t="s">
        <v>46</v>
      </c>
      <c r="B33" s="6"/>
      <c r="C33" s="16" t="n">
        <f aca="false">Datos!C4</f>
        <v>5</v>
      </c>
    </row>
    <row r="34" customFormat="false" ht="15" hidden="false" customHeight="false" outlineLevel="0" collapsed="false">
      <c r="A34" s="6" t="s">
        <v>47</v>
      </c>
      <c r="B34" s="6"/>
      <c r="C34" s="17" t="n">
        <f aca="false">INDEX(Constantes!$B$5:$B$13,MATCH($C$32,Constantes!$A$5:$A$13,0))</f>
        <v>0.577</v>
      </c>
    </row>
    <row r="35" customFormat="false" ht="15" hidden="false" customHeight="false" outlineLevel="0" collapsed="false">
      <c r="A35" s="6" t="s">
        <v>48</v>
      </c>
      <c r="B35" s="6"/>
      <c r="C35" s="17" t="n">
        <f aca="false">INDEX(Constantes!$C$5:$C$13,MATCH($C$32,Constantes!$A$5:$A$13,0))</f>
        <v>0</v>
      </c>
    </row>
    <row r="36" customFormat="false" ht="15" hidden="false" customHeight="false" outlineLevel="0" collapsed="false">
      <c r="A36" s="6" t="s">
        <v>49</v>
      </c>
      <c r="B36" s="6"/>
      <c r="C36" s="17" t="n">
        <f aca="false">INDEX(Constantes!$D$5:$D$13,MATCH($C$32,Constantes!$A$5:$A$13,0))</f>
        <v>2.114</v>
      </c>
    </row>
    <row r="37" customFormat="false" ht="15" hidden="false" customHeight="false" outlineLevel="0" collapsed="false">
      <c r="A37" s="6" t="s">
        <v>50</v>
      </c>
      <c r="B37" s="6"/>
      <c r="C37" s="17" t="n">
        <f aca="false">AVERAGE(B4:B28)</f>
        <v>55.272</v>
      </c>
    </row>
    <row r="38" customFormat="false" ht="15" hidden="false" customHeight="false" outlineLevel="0" collapsed="false">
      <c r="A38" s="6" t="s">
        <v>51</v>
      </c>
      <c r="B38" s="6"/>
      <c r="C38" s="17" t="n">
        <f aca="false">AVERAGE(C4:C28)</f>
        <v>0.259999999999999</v>
      </c>
    </row>
    <row r="39" customFormat="false" ht="15" hidden="false" customHeight="false" outlineLevel="0" collapsed="false">
      <c r="A39" s="6" t="s">
        <v>52</v>
      </c>
      <c r="B39" s="6"/>
      <c r="C39" s="17" t="n">
        <f aca="false">$C$37+$C$34*$C$38</f>
        <v>55.42202</v>
      </c>
    </row>
    <row r="40" customFormat="false" ht="15" hidden="false" customHeight="false" outlineLevel="0" collapsed="false">
      <c r="A40" s="6" t="s">
        <v>53</v>
      </c>
      <c r="B40" s="6"/>
      <c r="C40" s="17" t="n">
        <f aca="false">$C$37-$C$34*$C$38</f>
        <v>55.12198</v>
      </c>
    </row>
    <row r="41" customFormat="false" ht="15" hidden="false" customHeight="false" outlineLevel="0" collapsed="false">
      <c r="A41" s="6" t="s">
        <v>54</v>
      </c>
      <c r="B41" s="6"/>
      <c r="C41" s="17" t="n">
        <f aca="false">$C$36*$C$38</f>
        <v>0.549639999999999</v>
      </c>
    </row>
    <row r="42" customFormat="false" ht="15" hidden="false" customHeight="false" outlineLevel="0" collapsed="false">
      <c r="A42" s="6" t="s">
        <v>55</v>
      </c>
      <c r="B42" s="6"/>
      <c r="C42" s="17" t="n">
        <f aca="false">$C$35*$C$38</f>
        <v>0</v>
      </c>
    </row>
  </sheetData>
  <mergeCells count="13">
    <mergeCell ref="A1:J1"/>
    <mergeCell ref="A31:C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</mergeCells>
  <conditionalFormatting sqref="A4:J28">
    <cfRule type="expression" priority="2" aboveAverage="0" equalAverage="0" bottom="0" percent="0" rank="0" text="" dxfId="0">
      <formula>$J4="Fuera de control"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" t="s">
        <v>56</v>
      </c>
    </row>
    <row r="2" customFormat="false" ht="15" hidden="false" customHeight="false" outlineLevel="0" collapsed="false">
      <c r="A2" s="1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2026-07-03T21:54:54Z</dcterms:created>
  <dc:creator>openpyxl</dc:creator>
  <dc:description/>
  <dc:language>en-US</dc:language>
  <cp:lastModifiedBy/>
  <dcterms:modified xsi:type="dcterms:W3CDTF">2026-07-03T21:55:02Z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